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" sheetId="1" state="visible" r:id="rId3"/>
    <sheet name="Resumen" sheetId="2" state="visible" r:id="rId4"/>
    <sheet name="Orden de validacion" sheetId="3" state="visible" r:id="rId5"/>
  </sheets>
  <definedNames>
    <definedName function="false" hidden="true" localSheetId="0" name="_xlnm._FilterDatabase" vbProcedure="false">Casos!$A$4:$K$40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<sst xmlns="http://schemas.openxmlformats.org/spreadsheetml/2006/main" count="329" uniqueCount="185">
  <si>
    <t xml:space="preserve">Matriz de casos de prueba - ISW-623 Actividad 1 (Persona 2)</t>
  </si>
  <si>
    <t xml:space="preserve">Leyenda: las columnas amarillas (Resultado obtenido y Motivo obtenido) las llena la Persona 5 después de ejecutar el paquete. 'Coincide' se calcula sola. Los registros normales válidos (1000 líneas) no se listan uno por uno: se verifican con los totales de la hoja Resumen.</t>
  </si>
  <si>
    <t xml:space="preserve">Id</t>
  </si>
  <si>
    <t xml:space="preserve">Archivo</t>
  </si>
  <si>
    <t xml:space="preserve">Linea</t>
  </si>
  <si>
    <t xml:space="preserve">Caso</t>
  </si>
  <si>
    <t xml:space="preserve">RF</t>
  </si>
  <si>
    <t xml:space="preserve">Registro</t>
  </si>
  <si>
    <t xml:space="preserve">Resultado esperado</t>
  </si>
  <si>
    <t xml:space="preserve">Motivo esperado</t>
  </si>
  <si>
    <t xml:space="preserve">Resultado obtenido</t>
  </si>
  <si>
    <t xml:space="preserve">Motivo obtenido</t>
  </si>
  <si>
    <t xml:space="preserve">Coincide</t>
  </si>
  <si>
    <t xml:space="preserve">P01</t>
  </si>
  <si>
    <t xml:space="preserve">PADRON_COMPLETO.txt</t>
  </si>
  <si>
    <t xml:space="preserve">Cédula con cero inicial (debe conservarse como texto)</t>
  </si>
  <si>
    <t xml:space="preserve">RF-01, RF-04</t>
  </si>
  <si>
    <t xml:space="preserve">012345678,101001, ,20300115,00001,ANA                           ,SOLANO                    ,MORA</t>
  </si>
  <si>
    <t xml:space="preserve">Cargado</t>
  </si>
  <si>
    <t xml:space="preserve">P02</t>
  </si>
  <si>
    <t xml:space="preserve">Espacios sobrantes en cédula, nombre y apellidos</t>
  </si>
  <si>
    <t xml:space="preserve">RF-03</t>
  </si>
  <si>
    <t xml:space="preserve">  203456781 ,201001, ,20310520,00002,   LUIS                       ,  ARAYA                   , CASTRO</t>
  </si>
  <si>
    <t xml:space="preserve">P03</t>
  </si>
  <si>
    <t xml:space="preserve">Código electoral con espacios alrededor</t>
  </si>
  <si>
    <t xml:space="preserve">RF-03, RF-06</t>
  </si>
  <si>
    <t xml:space="preserve">304567892, 301001 , ,20290310,00003,LAURA                         ,QUESADA                   ,ROJAS</t>
  </si>
  <si>
    <t xml:space="preserve">P04</t>
  </si>
  <si>
    <t xml:space="preserve">Sin segundo apellido (Apellido2 vacío -&gt; NULL)</t>
  </si>
  <si>
    <t xml:space="preserve">405678913,401001, ,20320801,00004,JOHN                          ,SMITH                     ,</t>
  </si>
  <si>
    <t xml:space="preserve">P05</t>
  </si>
  <si>
    <t xml:space="preserve">Ñ en apellidos (página de códigos 1252)</t>
  </si>
  <si>
    <t xml:space="preserve">RF-01</t>
  </si>
  <si>
    <t xml:space="preserve">506789124,501001, ,20330228,00005,PEÑA                          ,MUÑOZ                     ,NUÑEZ</t>
  </si>
  <si>
    <t xml:space="preserve">P06</t>
  </si>
  <si>
    <t xml:space="preserve">Fecha 29 de febrero en año bisiesto (2028)</t>
  </si>
  <si>
    <t xml:space="preserve">RF-05</t>
  </si>
  <si>
    <t xml:space="preserve">607891235,601001, ,20280229,00006,SOFIA                         ,ARIAS                     ,BRENES</t>
  </si>
  <si>
    <t xml:space="preserve">P07</t>
  </si>
  <si>
    <t xml:space="preserve">RELLENO con un valor distinto de espacio (se conserva tal cual)</t>
  </si>
  <si>
    <t xml:space="preserve">708912346,701001,X,20341111,00007,PABLO                         ,SOTO                      ,CAMPOS</t>
  </si>
  <si>
    <t xml:space="preserve">P08</t>
  </si>
  <si>
    <t xml:space="preserve">Distrito de consulado (código 8xxxxx existe en el catálogo)</t>
  </si>
  <si>
    <t xml:space="preserve">RF-06, RF-07</t>
  </si>
  <si>
    <t xml:space="preserve">109123457,848001, ,20300909,09999,DIEGO                         ,SEGURA                    ,MORA</t>
  </si>
  <si>
    <t xml:space="preserve">P09</t>
  </si>
  <si>
    <t xml:space="preserve">Cédula vacía (9 espacios)</t>
  </si>
  <si>
    <t xml:space="preserve">RF-04</t>
  </si>
  <si>
    <t xml:space="preserve">         ,101001, ,20300101,00010,MARTA                         ,VARGAS                    ,MORA</t>
  </si>
  <si>
    <t xml:space="preserve">Rechazado</t>
  </si>
  <si>
    <t xml:space="preserve">CEDULA_VACIA</t>
  </si>
  <si>
    <t xml:space="preserve">P10</t>
  </si>
  <si>
    <t xml:space="preserve">Cédula vacía (campo sin caracteres)</t>
  </si>
  <si>
    <t xml:space="preserve">,101001, ,20300101,00011,ROSA                          ,VARGAS                    ,MORA</t>
  </si>
  <si>
    <t xml:space="preserve">P11</t>
  </si>
  <si>
    <t xml:space="preserve">Cédula de 8 dígitos</t>
  </si>
  <si>
    <t xml:space="preserve">12345678,101001, ,20300101,00012,PEDRO                         ,MORA                      ,SOTO</t>
  </si>
  <si>
    <t xml:space="preserve">CEDULA_LONGITUD</t>
  </si>
  <si>
    <t xml:space="preserve">P12</t>
  </si>
  <si>
    <t xml:space="preserve">Cédula de 10 dígitos</t>
  </si>
  <si>
    <t xml:space="preserve">1234567890,101001, ,20300101,00013,PEDRO                         ,MORA                      ,ARIAS</t>
  </si>
  <si>
    <t xml:space="preserve">P13</t>
  </si>
  <si>
    <t xml:space="preserve">Cédula con letra</t>
  </si>
  <si>
    <t xml:space="preserve">1234A6789,101001, ,20300101,00014,ELENA                         ,ROJAS                     ,SOTO</t>
  </si>
  <si>
    <t xml:space="preserve">CEDULA_CARACTERES</t>
  </si>
  <si>
    <t xml:space="preserve">P14</t>
  </si>
  <si>
    <t xml:space="preserve">Cédula con guiones (9 caracteres)</t>
  </si>
  <si>
    <t xml:space="preserve">1-234-567,101001, ,20300101,00015,RAUL                          ,ROJAS                     ,MORA</t>
  </si>
  <si>
    <t xml:space="preserve">P15</t>
  </si>
  <si>
    <t xml:space="preserve">Cédula con espacio interno</t>
  </si>
  <si>
    <t xml:space="preserve">1234 6789,101001, ,20300101,00016,IRENE                         ,CHAVES                    ,MORA</t>
  </si>
  <si>
    <t xml:space="preserve">P16</t>
  </si>
  <si>
    <t xml:space="preserve">Fecha 31 de febrero (día inexistente)</t>
  </si>
  <si>
    <t xml:space="preserve">811111111,101001, ,20300231,00020,HUGO                          ,CASTRO                    ,MORA</t>
  </si>
  <si>
    <t xml:space="preserve">FECHA_INVALIDA</t>
  </si>
  <si>
    <t xml:space="preserve">P17</t>
  </si>
  <si>
    <t xml:space="preserve">Fecha con mes 13</t>
  </si>
  <si>
    <t xml:space="preserve">811111112,101001, ,20301301,00021,OSCAR                         ,CASTRO                    ,SOTO</t>
  </si>
  <si>
    <t xml:space="preserve">P18</t>
  </si>
  <si>
    <t xml:space="preserve">Fecha con letras</t>
  </si>
  <si>
    <t xml:space="preserve">811111113,101001, ,2030AB01,00022,IVAN                          ,ARAYA                     ,SOTO</t>
  </si>
  <si>
    <t xml:space="preserve">P19</t>
  </si>
  <si>
    <t xml:space="preserve">Fecha vacía</t>
  </si>
  <si>
    <t xml:space="preserve">811111114,101001, ,        ,00023,EDGAR                         ,ARAYA                     ,MORA</t>
  </si>
  <si>
    <t xml:space="preserve">P20</t>
  </si>
  <si>
    <t xml:space="preserve">Fecha en orden DDMMAAAA (no AAAAMMDD)</t>
  </si>
  <si>
    <t xml:space="preserve">811111115,101001, ,15012030,00024,TERESA                        ,SOLANO                    ,ARIAS</t>
  </si>
  <si>
    <t xml:space="preserve">P21</t>
  </si>
  <si>
    <t xml:space="preserve">29 de febrero en año no bisiesto (2027)</t>
  </si>
  <si>
    <t xml:space="preserve">811111116,101001, ,20270229,00025,GLORIA                        ,SOLANO                    ,MORA</t>
  </si>
  <si>
    <t xml:space="preserve">P22</t>
  </si>
  <si>
    <t xml:space="preserve">Fecha de 7 dígitos</t>
  </si>
  <si>
    <t xml:space="preserve">811111117,101001, ,2030011,00026,MARCO                         ,SOLANO                    ,SOTO</t>
  </si>
  <si>
    <t xml:space="preserve">P23</t>
  </si>
  <si>
    <t xml:space="preserve">Código electoral que no existe en el catálogo</t>
  </si>
  <si>
    <t xml:space="preserve">RF-06</t>
  </si>
  <si>
    <t xml:space="preserve">821111111,999999, ,20300101,00030,ALBERTO                       ,MORA                      ,MORA</t>
  </si>
  <si>
    <t xml:space="preserve">CODELEC_NO_EXISTE</t>
  </si>
  <si>
    <t xml:space="preserve">P24</t>
  </si>
  <si>
    <t xml:space="preserve">Código electoral de 5 dígitos</t>
  </si>
  <si>
    <t xml:space="preserve">821111112,10100, ,20300101,00031,BEATRIZ                       ,MORA                      ,SOTO</t>
  </si>
  <si>
    <t xml:space="preserve">P25</t>
  </si>
  <si>
    <t xml:space="preserve">Código electoral vacío</t>
  </si>
  <si>
    <t xml:space="preserve">821111113,      , ,20300101,00032,CLARA                         ,MORA                      ,ARIAS</t>
  </si>
  <si>
    <t xml:space="preserve">P26</t>
  </si>
  <si>
    <t xml:space="preserve">Código electoral rechazado en el catálogo (901001 sin provincia)</t>
  </si>
  <si>
    <t xml:space="preserve">821111114,901001, ,20300101,00033,DORA                          ,MORA                      ,BRENES</t>
  </si>
  <si>
    <t xml:space="preserve">P27</t>
  </si>
  <si>
    <t xml:space="preserve">Dos errores: cédula vacía y fecha inválida (gana la cédula)</t>
  </si>
  <si>
    <t xml:space="preserve">RF-04, RF-05</t>
  </si>
  <si>
    <t xml:space="preserve">         ,101001, ,20301301,00040,ERNESTO                       ,SOTO                      ,MORA</t>
  </si>
  <si>
    <t xml:space="preserve">P28</t>
  </si>
  <si>
    <t xml:space="preserve">Dos errores: fecha inválida y código inexistente (gana la fecha)</t>
  </si>
  <si>
    <t xml:space="preserve">RF-05, RF-06</t>
  </si>
  <si>
    <t xml:space="preserve">831111111,999999, ,20300231,00041,FLOR                          ,SOTO                      ,ARIAS</t>
  </si>
  <si>
    <t xml:space="preserve">P29</t>
  </si>
  <si>
    <t xml:space="preserve">Línea con solo 5 columnas</t>
  </si>
  <si>
    <t xml:space="preserve">841111111,101001, ,20300101,00050</t>
  </si>
  <si>
    <t xml:space="preserve">LINEA_MALFORMADA</t>
  </si>
  <si>
    <t xml:space="preserve">P30</t>
  </si>
  <si>
    <t xml:space="preserve">Línea con nombre y primer apellido vacíos</t>
  </si>
  <si>
    <t xml:space="preserve">841111112,101001, ,20300101,00051,                              ,                          ,</t>
  </si>
  <si>
    <t xml:space="preserve">P31</t>
  </si>
  <si>
    <t xml:space="preserve">Cédula repetida con otros datos (la primera aparición se carga)</t>
  </si>
  <si>
    <t xml:space="preserve">Regla de duplicados</t>
  </si>
  <si>
    <t xml:space="preserve">842162530,102001, ,20350101,00060,OTRO                          ,NOMBRE                    ,DISTINTO</t>
  </si>
  <si>
    <t xml:space="preserve">CEDULA_DUPLICADA</t>
  </si>
  <si>
    <t xml:space="preserve">P32</t>
  </si>
  <si>
    <t xml:space="preserve">Línea idéntica repetida</t>
  </si>
  <si>
    <t xml:space="preserve">439451973,112026, ,20300309,06593,PABLO                         ,ACUÑA                     ,BOLAÑOS</t>
  </si>
  <si>
    <t xml:space="preserve">C01</t>
  </si>
  <si>
    <t xml:space="preserve">distelec.txt</t>
  </si>
  <si>
    <t xml:space="preserve">Código de 5 dígitos</t>
  </si>
  <si>
    <t xml:space="preserve">RF-02, RF-03</t>
  </si>
  <si>
    <t xml:space="preserve">10100,SAN JOSE,CENTRAL,PRUEBA CODIGO CORTO</t>
  </si>
  <si>
    <t xml:space="preserve">CATALOGO_INVALIDO</t>
  </si>
  <si>
    <t xml:space="preserve">C02</t>
  </si>
  <si>
    <t xml:space="preserve">Provincia vacía</t>
  </si>
  <si>
    <t xml:space="preserve">901001,,CENTRAL,PRUEBA SIN PROVINCIA</t>
  </si>
  <si>
    <t xml:space="preserve">C03</t>
  </si>
  <si>
    <t xml:space="preserve">Código con letra</t>
  </si>
  <si>
    <t xml:space="preserve">90A001,SAN JOSE,CENTRAL,PRUEBA CODIGO LETRA</t>
  </si>
  <si>
    <t xml:space="preserve">C04</t>
  </si>
  <si>
    <t xml:space="preserve">Código repetido (101001 ya existe)</t>
  </si>
  <si>
    <t xml:space="preserve">101001,SAN JOSE,CENTRAL,HOSPITAL DUPLICADO</t>
  </si>
  <si>
    <t xml:space="preserve">CATALOGO_DUPLICADO</t>
  </si>
  <si>
    <t xml:space="preserve">Totales esperados por archivo y motivo</t>
  </si>
  <si>
    <t xml:space="preserve">Leídos: líneas físicas de cada archivo (fuente: Herramientas/Generar_DatosPrueba.py). Rechazos esperados: se cuentan desde la hoja Casos. La columna amarilla la llena la Persona 5.</t>
  </si>
  <si>
    <t xml:space="preserve">Concepto</t>
  </si>
  <si>
    <t xml:space="preserve">Esperado</t>
  </si>
  <si>
    <t xml:space="preserve">Obtenido</t>
  </si>
  <si>
    <t xml:space="preserve">Diferencia</t>
  </si>
  <si>
    <t xml:space="preserve">Leídos</t>
  </si>
  <si>
    <t xml:space="preserve">Rechazados LINEA_MALFORMADA</t>
  </si>
  <si>
    <t xml:space="preserve">Rechazados CEDULA_VACIA</t>
  </si>
  <si>
    <t xml:space="preserve">Rechazados CEDULA_LONGITUD</t>
  </si>
  <si>
    <t xml:space="preserve">Rechazados CEDULA_CARACTERES</t>
  </si>
  <si>
    <t xml:space="preserve">Rechazados FECHA_INVALIDA</t>
  </si>
  <si>
    <t xml:space="preserve">Rechazados CODELEC_NO_EXISTE</t>
  </si>
  <si>
    <t xml:space="preserve">Rechazados CEDULA_DUPLICADA</t>
  </si>
  <si>
    <t xml:space="preserve">Rechazados (total)</t>
  </si>
  <si>
    <t xml:space="preserve">Cargados</t>
  </si>
  <si>
    <t xml:space="preserve">Rechazados CATALOGO_INVALIDO</t>
  </si>
  <si>
    <t xml:space="preserve">Rechazados CATALOGO_DUPLICADO</t>
  </si>
  <si>
    <t xml:space="preserve">Control: leídos = cargados + rechazados (padrón)</t>
  </si>
  <si>
    <t xml:space="preserve">Orden en que se evalúan las reglas (un registro con varios errores recibe el PRIMER motivo)</t>
  </si>
  <si>
    <t xml:space="preserve">Orden</t>
  </si>
  <si>
    <t xml:space="preserve">Motivo</t>
  </si>
  <si>
    <t xml:space="preserve">Componente</t>
  </si>
  <si>
    <t xml:space="preserve">Responsable</t>
  </si>
  <si>
    <t xml:space="preserve">Condición</t>
  </si>
  <si>
    <t xml:space="preserve">Flat File Source (salida de error) / Conditional Split</t>
  </si>
  <si>
    <t xml:space="preserve">Persona 3</t>
  </si>
  <si>
    <t xml:space="preserve">Columnas faltantes: NOMBRE o APELLIDO1 vacío o NULL, o error de lectura</t>
  </si>
  <si>
    <t xml:space="preserve">Conditional Split</t>
  </si>
  <si>
    <t xml:space="preserve">TRIM(Cedula) vacío o NULL</t>
  </si>
  <si>
    <t xml:space="preserve">LEN(TRIM(Cedula)) != 9</t>
  </si>
  <si>
    <t xml:space="preserve">Quedan caracteres al quitar los dígitos 0-9</t>
  </si>
  <si>
    <t xml:space="preserve">Derived Column (salida de error)</t>
  </si>
  <si>
    <t xml:space="preserve">AAAAMMDD no convertible a DT_DBDATE</t>
  </si>
  <si>
    <t xml:space="preserve">Lookup (sin coincidencia)</t>
  </si>
  <si>
    <t xml:space="preserve">Persona 4</t>
  </si>
  <si>
    <t xml:space="preserve">Código no está en dbo.UbicacionElectoral</t>
  </si>
  <si>
    <t xml:space="preserve">Script Component / control de duplicados</t>
  </si>
  <si>
    <t xml:space="preserve">Cédula ya vista antes: se carga solo la primera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</si>
</sst>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7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n">
        <v>107</v>
      </c>
      <c r="D5" s="5" t="s">
        <v>15</v>
      </c>
      <c r="E5" s="5" t="s">
        <v>16</v>
      </c>
      <c r="F5" s="6" t="s">
        <v>17</v>
      </c>
      <c r="G5" s="4" t="s">
        <v>18</v>
      </c>
      <c r="H5" s="4"/>
      <c r="I5" s="7"/>
      <c r="J5" s="7"/>
      <c r="K5" s="8" t="str">
        <f aca="false">IF(I5="","",IF(AND(I5=G5,J5&amp;""=H5&amp;""),"Sí","No"))</f>
        <v/>
      </c>
    </row>
    <row r="6" customFormat="false" ht="15" hidden="false" customHeight="false" outlineLevel="0" collapsed="false">
      <c r="A6" s="4" t="s">
        <v>19</v>
      </c>
      <c r="B6" s="4" t="s">
        <v>14</v>
      </c>
      <c r="C6" s="4" t="n">
        <v>128</v>
      </c>
      <c r="D6" s="5" t="s">
        <v>20</v>
      </c>
      <c r="E6" s="5" t="s">
        <v>21</v>
      </c>
      <c r="F6" s="6" t="s">
        <v>22</v>
      </c>
      <c r="G6" s="4" t="s">
        <v>18</v>
      </c>
      <c r="H6" s="4"/>
      <c r="I6" s="7"/>
      <c r="J6" s="7"/>
      <c r="K6" s="8" t="str">
        <f aca="false">IF(I6="","",IF(AND(I6=G6,J6&amp;""=H6&amp;""),"Sí","No"))</f>
        <v/>
      </c>
    </row>
    <row r="7" customFormat="false" ht="15" hidden="false" customHeight="false" outlineLevel="0" collapsed="false">
      <c r="A7" s="4" t="s">
        <v>23</v>
      </c>
      <c r="B7" s="4" t="s">
        <v>14</v>
      </c>
      <c r="C7" s="4" t="n">
        <v>142</v>
      </c>
      <c r="D7" s="5" t="s">
        <v>24</v>
      </c>
      <c r="E7" s="5" t="s">
        <v>25</v>
      </c>
      <c r="F7" s="6" t="s">
        <v>26</v>
      </c>
      <c r="G7" s="4" t="s">
        <v>18</v>
      </c>
      <c r="H7" s="4"/>
      <c r="I7" s="7"/>
      <c r="J7" s="7"/>
      <c r="K7" s="8" t="str">
        <f aca="false">IF(I7="","",IF(AND(I7=G7,J7&amp;""=H7&amp;""),"Sí","No"))</f>
        <v/>
      </c>
    </row>
    <row r="8" customFormat="false" ht="15" hidden="false" customHeight="false" outlineLevel="0" collapsed="false">
      <c r="A8" s="4" t="s">
        <v>27</v>
      </c>
      <c r="B8" s="4" t="s">
        <v>14</v>
      </c>
      <c r="C8" s="4" t="n">
        <v>183</v>
      </c>
      <c r="D8" s="5" t="s">
        <v>28</v>
      </c>
      <c r="E8" s="5" t="s">
        <v>21</v>
      </c>
      <c r="F8" s="6" t="s">
        <v>29</v>
      </c>
      <c r="G8" s="4" t="s">
        <v>18</v>
      </c>
      <c r="H8" s="4"/>
      <c r="I8" s="7"/>
      <c r="J8" s="7"/>
      <c r="K8" s="8" t="str">
        <f aca="false">IF(I8="","",IF(AND(I8=G8,J8&amp;""=H8&amp;""),"Sí","No"))</f>
        <v/>
      </c>
    </row>
    <row r="9" customFormat="false" ht="15" hidden="false" customHeight="false" outlineLevel="0" collapsed="false">
      <c r="A9" s="4" t="s">
        <v>30</v>
      </c>
      <c r="B9" s="4" t="s">
        <v>14</v>
      </c>
      <c r="C9" s="4" t="n">
        <v>231</v>
      </c>
      <c r="D9" s="5" t="s">
        <v>31</v>
      </c>
      <c r="E9" s="5" t="s">
        <v>32</v>
      </c>
      <c r="F9" s="6" t="s">
        <v>33</v>
      </c>
      <c r="G9" s="4" t="s">
        <v>18</v>
      </c>
      <c r="H9" s="4"/>
      <c r="I9" s="7"/>
      <c r="J9" s="7"/>
      <c r="K9" s="8" t="str">
        <f aca="false">IF(I9="","",IF(AND(I9=G9,J9&amp;""=H9&amp;""),"Sí","No"))</f>
        <v/>
      </c>
    </row>
    <row r="10" customFormat="false" ht="15" hidden="false" customHeight="false" outlineLevel="0" collapsed="false">
      <c r="A10" s="4" t="s">
        <v>34</v>
      </c>
      <c r="B10" s="4" t="s">
        <v>14</v>
      </c>
      <c r="C10" s="4" t="n">
        <v>237</v>
      </c>
      <c r="D10" s="5" t="s">
        <v>35</v>
      </c>
      <c r="E10" s="5" t="s">
        <v>36</v>
      </c>
      <c r="F10" s="6" t="s">
        <v>37</v>
      </c>
      <c r="G10" s="4" t="s">
        <v>18</v>
      </c>
      <c r="H10" s="4"/>
      <c r="I10" s="7"/>
      <c r="J10" s="7"/>
      <c r="K10" s="8" t="str">
        <f aca="false">IF(I10="","",IF(AND(I10=G10,J10&amp;""=H10&amp;""),"Sí","No"))</f>
        <v/>
      </c>
    </row>
    <row r="11" customFormat="false" ht="23.85" hidden="false" customHeight="false" outlineLevel="0" collapsed="false">
      <c r="A11" s="4" t="s">
        <v>38</v>
      </c>
      <c r="B11" s="4" t="s">
        <v>14</v>
      </c>
      <c r="C11" s="4" t="n">
        <v>257</v>
      </c>
      <c r="D11" s="5" t="s">
        <v>39</v>
      </c>
      <c r="E11" s="5" t="s">
        <v>32</v>
      </c>
      <c r="F11" s="6" t="s">
        <v>40</v>
      </c>
      <c r="G11" s="4" t="s">
        <v>18</v>
      </c>
      <c r="H11" s="4"/>
      <c r="I11" s="7"/>
      <c r="J11" s="7"/>
      <c r="K11" s="8" t="str">
        <f aca="false">IF(I11="","",IF(AND(I11=G11,J11&amp;""=H11&amp;""),"Sí","No"))</f>
        <v/>
      </c>
    </row>
    <row r="12" customFormat="false" ht="15" hidden="false" customHeight="false" outlineLevel="0" collapsed="false">
      <c r="A12" s="4" t="s">
        <v>41</v>
      </c>
      <c r="B12" s="4" t="s">
        <v>14</v>
      </c>
      <c r="C12" s="4" t="n">
        <v>277</v>
      </c>
      <c r="D12" s="5" t="s">
        <v>42</v>
      </c>
      <c r="E12" s="5" t="s">
        <v>43</v>
      </c>
      <c r="F12" s="6" t="s">
        <v>44</v>
      </c>
      <c r="G12" s="4" t="s">
        <v>18</v>
      </c>
      <c r="H12" s="4"/>
      <c r="I12" s="7"/>
      <c r="J12" s="7"/>
      <c r="K12" s="8" t="str">
        <f aca="false">IF(I12="","",IF(AND(I12=G12,J12&amp;""=H12&amp;""),"Sí","No"))</f>
        <v/>
      </c>
    </row>
    <row r="13" customFormat="false" ht="15" hidden="false" customHeight="false" outlineLevel="0" collapsed="false">
      <c r="A13" s="4" t="s">
        <v>45</v>
      </c>
      <c r="B13" s="4" t="s">
        <v>14</v>
      </c>
      <c r="C13" s="4" t="n">
        <v>354</v>
      </c>
      <c r="D13" s="5" t="s">
        <v>46</v>
      </c>
      <c r="E13" s="5" t="s">
        <v>47</v>
      </c>
      <c r="F13" s="6" t="s">
        <v>48</v>
      </c>
      <c r="G13" s="4" t="s">
        <v>49</v>
      </c>
      <c r="H13" s="4" t="s">
        <v>50</v>
      </c>
      <c r="I13" s="7"/>
      <c r="J13" s="7"/>
      <c r="K13" s="8" t="str">
        <f aca="false">IF(I13="","",IF(AND(I13=G13,J13&amp;""=H13&amp;""),"Sí","No"))</f>
        <v/>
      </c>
    </row>
    <row r="14" customFormat="false" ht="15" hidden="false" customHeight="false" outlineLevel="0" collapsed="false">
      <c r="A14" s="4" t="s">
        <v>51</v>
      </c>
      <c r="B14" s="4" t="s">
        <v>14</v>
      </c>
      <c r="C14" s="4" t="n">
        <v>362</v>
      </c>
      <c r="D14" s="5" t="s">
        <v>52</v>
      </c>
      <c r="E14" s="5" t="s">
        <v>47</v>
      </c>
      <c r="F14" s="6" t="s">
        <v>53</v>
      </c>
      <c r="G14" s="4" t="s">
        <v>49</v>
      </c>
      <c r="H14" s="4" t="s">
        <v>50</v>
      </c>
      <c r="I14" s="7"/>
      <c r="J14" s="7"/>
      <c r="K14" s="8" t="str">
        <f aca="false">IF(I14="","",IF(AND(I14=G14,J14&amp;""=H14&amp;""),"Sí","No"))</f>
        <v/>
      </c>
    </row>
    <row r="15" customFormat="false" ht="15" hidden="false" customHeight="false" outlineLevel="0" collapsed="false">
      <c r="A15" s="4" t="s">
        <v>54</v>
      </c>
      <c r="B15" s="4" t="s">
        <v>14</v>
      </c>
      <c r="C15" s="4" t="n">
        <v>411</v>
      </c>
      <c r="D15" s="5" t="s">
        <v>55</v>
      </c>
      <c r="E15" s="5" t="s">
        <v>47</v>
      </c>
      <c r="F15" s="6" t="s">
        <v>56</v>
      </c>
      <c r="G15" s="4" t="s">
        <v>49</v>
      </c>
      <c r="H15" s="4" t="s">
        <v>57</v>
      </c>
      <c r="I15" s="7"/>
      <c r="J15" s="7"/>
      <c r="K15" s="8" t="str">
        <f aca="false">IF(I15="","",IF(AND(I15=G15,J15&amp;""=H15&amp;""),"Sí","No"))</f>
        <v/>
      </c>
    </row>
    <row r="16" customFormat="false" ht="15" hidden="false" customHeight="false" outlineLevel="0" collapsed="false">
      <c r="A16" s="4" t="s">
        <v>58</v>
      </c>
      <c r="B16" s="4" t="s">
        <v>14</v>
      </c>
      <c r="C16" s="4" t="n">
        <v>436</v>
      </c>
      <c r="D16" s="5" t="s">
        <v>59</v>
      </c>
      <c r="E16" s="5" t="s">
        <v>47</v>
      </c>
      <c r="F16" s="6" t="s">
        <v>60</v>
      </c>
      <c r="G16" s="4" t="s">
        <v>49</v>
      </c>
      <c r="H16" s="4" t="s">
        <v>57</v>
      </c>
      <c r="I16" s="7"/>
      <c r="J16" s="7"/>
      <c r="K16" s="8" t="str">
        <f aca="false">IF(I16="","",IF(AND(I16=G16,J16&amp;""=H16&amp;""),"Sí","No"))</f>
        <v/>
      </c>
    </row>
    <row r="17" customFormat="false" ht="15" hidden="false" customHeight="false" outlineLevel="0" collapsed="false">
      <c r="A17" s="4" t="s">
        <v>61</v>
      </c>
      <c r="B17" s="4" t="s">
        <v>14</v>
      </c>
      <c r="C17" s="4" t="n">
        <v>452</v>
      </c>
      <c r="D17" s="5" t="s">
        <v>62</v>
      </c>
      <c r="E17" s="5" t="s">
        <v>47</v>
      </c>
      <c r="F17" s="6" t="s">
        <v>63</v>
      </c>
      <c r="G17" s="4" t="s">
        <v>49</v>
      </c>
      <c r="H17" s="4" t="s">
        <v>64</v>
      </c>
      <c r="I17" s="7"/>
      <c r="J17" s="7"/>
      <c r="K17" s="8" t="str">
        <f aca="false">IF(I17="","",IF(AND(I17=G17,J17&amp;""=H17&amp;""),"Sí","No"))</f>
        <v/>
      </c>
    </row>
    <row r="18" customFormat="false" ht="15" hidden="false" customHeight="false" outlineLevel="0" collapsed="false">
      <c r="A18" s="4" t="s">
        <v>65</v>
      </c>
      <c r="B18" s="4" t="s">
        <v>14</v>
      </c>
      <c r="C18" s="4" t="n">
        <v>498</v>
      </c>
      <c r="D18" s="5" t="s">
        <v>66</v>
      </c>
      <c r="E18" s="5" t="s">
        <v>47</v>
      </c>
      <c r="F18" s="6" t="s">
        <v>67</v>
      </c>
      <c r="G18" s="4" t="s">
        <v>49</v>
      </c>
      <c r="H18" s="4" t="s">
        <v>64</v>
      </c>
      <c r="I18" s="7"/>
      <c r="J18" s="7"/>
      <c r="K18" s="8" t="str">
        <f aca="false">IF(I18="","",IF(AND(I18=G18,J18&amp;""=H18&amp;""),"Sí","No"))</f>
        <v/>
      </c>
    </row>
    <row r="19" customFormat="false" ht="15" hidden="false" customHeight="false" outlineLevel="0" collapsed="false">
      <c r="A19" s="4" t="s">
        <v>68</v>
      </c>
      <c r="B19" s="4" t="s">
        <v>14</v>
      </c>
      <c r="C19" s="4" t="n">
        <v>500</v>
      </c>
      <c r="D19" s="5" t="s">
        <v>69</v>
      </c>
      <c r="E19" s="5" t="s">
        <v>47</v>
      </c>
      <c r="F19" s="6" t="s">
        <v>70</v>
      </c>
      <c r="G19" s="4" t="s">
        <v>49</v>
      </c>
      <c r="H19" s="4" t="s">
        <v>64</v>
      </c>
      <c r="I19" s="7"/>
      <c r="J19" s="7"/>
      <c r="K19" s="8" t="str">
        <f aca="false">IF(I19="","",IF(AND(I19=G19,J19&amp;""=H19&amp;""),"Sí","No"))</f>
        <v/>
      </c>
    </row>
    <row r="20" customFormat="false" ht="15" hidden="false" customHeight="false" outlineLevel="0" collapsed="false">
      <c r="A20" s="4" t="s">
        <v>71</v>
      </c>
      <c r="B20" s="4" t="s">
        <v>14</v>
      </c>
      <c r="C20" s="4" t="n">
        <v>551</v>
      </c>
      <c r="D20" s="5" t="s">
        <v>72</v>
      </c>
      <c r="E20" s="5" t="s">
        <v>36</v>
      </c>
      <c r="F20" s="6" t="s">
        <v>73</v>
      </c>
      <c r="G20" s="4" t="s">
        <v>49</v>
      </c>
      <c r="H20" s="4" t="s">
        <v>74</v>
      </c>
      <c r="I20" s="7"/>
      <c r="J20" s="7"/>
      <c r="K20" s="8" t="str">
        <f aca="false">IF(I20="","",IF(AND(I20=G20,J20&amp;""=H20&amp;""),"Sí","No"))</f>
        <v/>
      </c>
    </row>
    <row r="21" customFormat="false" ht="15" hidden="false" customHeight="false" outlineLevel="0" collapsed="false">
      <c r="A21" s="4" t="s">
        <v>75</v>
      </c>
      <c r="B21" s="4" t="s">
        <v>14</v>
      </c>
      <c r="C21" s="4" t="n">
        <v>616</v>
      </c>
      <c r="D21" s="5" t="s">
        <v>76</v>
      </c>
      <c r="E21" s="5" t="s">
        <v>36</v>
      </c>
      <c r="F21" s="6" t="s">
        <v>77</v>
      </c>
      <c r="G21" s="4" t="s">
        <v>49</v>
      </c>
      <c r="H21" s="4" t="s">
        <v>74</v>
      </c>
      <c r="I21" s="7"/>
      <c r="J21" s="7"/>
      <c r="K21" s="8" t="str">
        <f aca="false">IF(I21="","",IF(AND(I21=G21,J21&amp;""=H21&amp;""),"Sí","No"))</f>
        <v/>
      </c>
    </row>
    <row r="22" customFormat="false" ht="15" hidden="false" customHeight="false" outlineLevel="0" collapsed="false">
      <c r="A22" s="4" t="s">
        <v>78</v>
      </c>
      <c r="B22" s="4" t="s">
        <v>14</v>
      </c>
      <c r="C22" s="4" t="n">
        <v>631</v>
      </c>
      <c r="D22" s="5" t="s">
        <v>79</v>
      </c>
      <c r="E22" s="5" t="s">
        <v>36</v>
      </c>
      <c r="F22" s="6" t="s">
        <v>80</v>
      </c>
      <c r="G22" s="4" t="s">
        <v>49</v>
      </c>
      <c r="H22" s="4" t="s">
        <v>74</v>
      </c>
      <c r="I22" s="7"/>
      <c r="J22" s="7"/>
      <c r="K22" s="8" t="str">
        <f aca="false">IF(I22="","",IF(AND(I22=G22,J22&amp;""=H22&amp;""),"Sí","No"))</f>
        <v/>
      </c>
    </row>
    <row r="23" customFormat="false" ht="15" hidden="false" customHeight="false" outlineLevel="0" collapsed="false">
      <c r="A23" s="4" t="s">
        <v>81</v>
      </c>
      <c r="B23" s="4" t="s">
        <v>14</v>
      </c>
      <c r="C23" s="4" t="n">
        <v>694</v>
      </c>
      <c r="D23" s="5" t="s">
        <v>82</v>
      </c>
      <c r="E23" s="5" t="s">
        <v>36</v>
      </c>
      <c r="F23" s="6" t="s">
        <v>83</v>
      </c>
      <c r="G23" s="4" t="s">
        <v>49</v>
      </c>
      <c r="H23" s="4" t="s">
        <v>74</v>
      </c>
      <c r="I23" s="7"/>
      <c r="J23" s="7"/>
      <c r="K23" s="8" t="str">
        <f aca="false">IF(I23="","",IF(AND(I23=G23,J23&amp;""=H23&amp;""),"Sí","No"))</f>
        <v/>
      </c>
    </row>
    <row r="24" customFormat="false" ht="15" hidden="false" customHeight="false" outlineLevel="0" collapsed="false">
      <c r="A24" s="4" t="s">
        <v>84</v>
      </c>
      <c r="B24" s="4" t="s">
        <v>14</v>
      </c>
      <c r="C24" s="4" t="n">
        <v>705</v>
      </c>
      <c r="D24" s="5" t="s">
        <v>85</v>
      </c>
      <c r="E24" s="5" t="s">
        <v>36</v>
      </c>
      <c r="F24" s="6" t="s">
        <v>86</v>
      </c>
      <c r="G24" s="4" t="s">
        <v>49</v>
      </c>
      <c r="H24" s="4" t="s">
        <v>74</v>
      </c>
      <c r="I24" s="7"/>
      <c r="J24" s="7"/>
      <c r="K24" s="8" t="str">
        <f aca="false">IF(I24="","",IF(AND(I24=G24,J24&amp;""=H24&amp;""),"Sí","No"))</f>
        <v/>
      </c>
    </row>
    <row r="25" customFormat="false" ht="15" hidden="false" customHeight="false" outlineLevel="0" collapsed="false">
      <c r="A25" s="4" t="s">
        <v>87</v>
      </c>
      <c r="B25" s="4" t="s">
        <v>14</v>
      </c>
      <c r="C25" s="4" t="n">
        <v>712</v>
      </c>
      <c r="D25" s="5" t="s">
        <v>88</v>
      </c>
      <c r="E25" s="5" t="s">
        <v>36</v>
      </c>
      <c r="F25" s="6" t="s">
        <v>89</v>
      </c>
      <c r="G25" s="4" t="s">
        <v>49</v>
      </c>
      <c r="H25" s="4" t="s">
        <v>74</v>
      </c>
      <c r="I25" s="7"/>
      <c r="J25" s="7"/>
      <c r="K25" s="8" t="str">
        <f aca="false">IF(I25="","",IF(AND(I25=G25,J25&amp;""=H25&amp;""),"Sí","No"))</f>
        <v/>
      </c>
    </row>
    <row r="26" customFormat="false" ht="15" hidden="false" customHeight="false" outlineLevel="0" collapsed="false">
      <c r="A26" s="4" t="s">
        <v>90</v>
      </c>
      <c r="B26" s="4" t="s">
        <v>14</v>
      </c>
      <c r="C26" s="4" t="n">
        <v>752</v>
      </c>
      <c r="D26" s="5" t="s">
        <v>91</v>
      </c>
      <c r="E26" s="5" t="s">
        <v>36</v>
      </c>
      <c r="F26" s="6" t="s">
        <v>92</v>
      </c>
      <c r="G26" s="4" t="s">
        <v>49</v>
      </c>
      <c r="H26" s="4" t="s">
        <v>74</v>
      </c>
      <c r="I26" s="7"/>
      <c r="J26" s="7"/>
      <c r="K26" s="8" t="str">
        <f aca="false">IF(I26="","",IF(AND(I26=G26,J26&amp;""=H26&amp;""),"Sí","No"))</f>
        <v/>
      </c>
    </row>
    <row r="27" customFormat="false" ht="15" hidden="false" customHeight="false" outlineLevel="0" collapsed="false">
      <c r="A27" s="4" t="s">
        <v>93</v>
      </c>
      <c r="B27" s="4" t="s">
        <v>14</v>
      </c>
      <c r="C27" s="4" t="n">
        <v>763</v>
      </c>
      <c r="D27" s="5" t="s">
        <v>94</v>
      </c>
      <c r="E27" s="5" t="s">
        <v>95</v>
      </c>
      <c r="F27" s="6" t="s">
        <v>96</v>
      </c>
      <c r="G27" s="4" t="s">
        <v>49</v>
      </c>
      <c r="H27" s="4" t="s">
        <v>97</v>
      </c>
      <c r="I27" s="7"/>
      <c r="J27" s="7"/>
      <c r="K27" s="8" t="str">
        <f aca="false">IF(I27="","",IF(AND(I27=G27,J27&amp;""=H27&amp;""),"Sí","No"))</f>
        <v/>
      </c>
    </row>
    <row r="28" customFormat="false" ht="15" hidden="false" customHeight="false" outlineLevel="0" collapsed="false">
      <c r="A28" s="4" t="s">
        <v>98</v>
      </c>
      <c r="B28" s="4" t="s">
        <v>14</v>
      </c>
      <c r="C28" s="4" t="n">
        <v>848</v>
      </c>
      <c r="D28" s="5" t="s">
        <v>99</v>
      </c>
      <c r="E28" s="5" t="s">
        <v>95</v>
      </c>
      <c r="F28" s="6" t="s">
        <v>100</v>
      </c>
      <c r="G28" s="4" t="s">
        <v>49</v>
      </c>
      <c r="H28" s="4" t="s">
        <v>97</v>
      </c>
      <c r="I28" s="7"/>
      <c r="J28" s="7"/>
      <c r="K28" s="8" t="str">
        <f aca="false">IF(I28="","",IF(AND(I28=G28,J28&amp;""=H28&amp;""),"Sí","No"))</f>
        <v/>
      </c>
    </row>
    <row r="29" customFormat="false" ht="15" hidden="false" customHeight="false" outlineLevel="0" collapsed="false">
      <c r="A29" s="4" t="s">
        <v>101</v>
      </c>
      <c r="B29" s="4" t="s">
        <v>14</v>
      </c>
      <c r="C29" s="4" t="n">
        <v>872</v>
      </c>
      <c r="D29" s="5" t="s">
        <v>102</v>
      </c>
      <c r="E29" s="5" t="s">
        <v>95</v>
      </c>
      <c r="F29" s="6" t="s">
        <v>103</v>
      </c>
      <c r="G29" s="4" t="s">
        <v>49</v>
      </c>
      <c r="H29" s="4" t="s">
        <v>97</v>
      </c>
      <c r="I29" s="7"/>
      <c r="J29" s="7"/>
      <c r="K29" s="8" t="str">
        <f aca="false">IF(I29="","",IF(AND(I29=G29,J29&amp;""=H29&amp;""),"Sí","No"))</f>
        <v/>
      </c>
    </row>
    <row r="30" customFormat="false" ht="23.85" hidden="false" customHeight="false" outlineLevel="0" collapsed="false">
      <c r="A30" s="4" t="s">
        <v>104</v>
      </c>
      <c r="B30" s="4" t="s">
        <v>14</v>
      </c>
      <c r="C30" s="4" t="n">
        <v>933</v>
      </c>
      <c r="D30" s="5" t="s">
        <v>105</v>
      </c>
      <c r="E30" s="5" t="s">
        <v>95</v>
      </c>
      <c r="F30" s="6" t="s">
        <v>106</v>
      </c>
      <c r="G30" s="4" t="s">
        <v>49</v>
      </c>
      <c r="H30" s="4" t="s">
        <v>97</v>
      </c>
      <c r="I30" s="7"/>
      <c r="J30" s="7"/>
      <c r="K30" s="8" t="str">
        <f aca="false">IF(I30="","",IF(AND(I30=G30,J30&amp;""=H30&amp;""),"Sí","No"))</f>
        <v/>
      </c>
    </row>
    <row r="31" customFormat="false" ht="15" hidden="false" customHeight="false" outlineLevel="0" collapsed="false">
      <c r="A31" s="4" t="s">
        <v>107</v>
      </c>
      <c r="B31" s="4" t="s">
        <v>14</v>
      </c>
      <c r="C31" s="4" t="n">
        <v>935</v>
      </c>
      <c r="D31" s="5" t="s">
        <v>108</v>
      </c>
      <c r="E31" s="5" t="s">
        <v>109</v>
      </c>
      <c r="F31" s="6" t="s">
        <v>110</v>
      </c>
      <c r="G31" s="4" t="s">
        <v>49</v>
      </c>
      <c r="H31" s="4" t="s">
        <v>50</v>
      </c>
      <c r="I31" s="7"/>
      <c r="J31" s="7"/>
      <c r="K31" s="8" t="str">
        <f aca="false">IF(I31="","",IF(AND(I31=G31,J31&amp;""=H31&amp;""),"Sí","No"))</f>
        <v/>
      </c>
    </row>
    <row r="32" customFormat="false" ht="23.85" hidden="false" customHeight="false" outlineLevel="0" collapsed="false">
      <c r="A32" s="4" t="s">
        <v>111</v>
      </c>
      <c r="B32" s="4" t="s">
        <v>14</v>
      </c>
      <c r="C32" s="4" t="n">
        <v>956</v>
      </c>
      <c r="D32" s="5" t="s">
        <v>112</v>
      </c>
      <c r="E32" s="5" t="s">
        <v>113</v>
      </c>
      <c r="F32" s="6" t="s">
        <v>114</v>
      </c>
      <c r="G32" s="4" t="s">
        <v>49</v>
      </c>
      <c r="H32" s="4" t="s">
        <v>74</v>
      </c>
      <c r="I32" s="7"/>
      <c r="J32" s="7"/>
      <c r="K32" s="8" t="str">
        <f aca="false">IF(I32="","",IF(AND(I32=G32,J32&amp;""=H32&amp;""),"Sí","No"))</f>
        <v/>
      </c>
    </row>
    <row r="33" customFormat="false" ht="15" hidden="false" customHeight="false" outlineLevel="0" collapsed="false">
      <c r="A33" s="4" t="s">
        <v>115</v>
      </c>
      <c r="B33" s="4" t="s">
        <v>14</v>
      </c>
      <c r="C33" s="4" t="n">
        <v>981</v>
      </c>
      <c r="D33" s="5" t="s">
        <v>116</v>
      </c>
      <c r="E33" s="5" t="s">
        <v>32</v>
      </c>
      <c r="F33" s="6" t="s">
        <v>117</v>
      </c>
      <c r="G33" s="4" t="s">
        <v>49</v>
      </c>
      <c r="H33" s="4" t="s">
        <v>118</v>
      </c>
      <c r="I33" s="7"/>
      <c r="J33" s="7"/>
      <c r="K33" s="8" t="str">
        <f aca="false">IF(I33="","",IF(AND(I33=G33,J33&amp;""=H33&amp;""),"Sí","No"))</f>
        <v/>
      </c>
    </row>
    <row r="34" customFormat="false" ht="15" hidden="false" customHeight="false" outlineLevel="0" collapsed="false">
      <c r="A34" s="4" t="s">
        <v>119</v>
      </c>
      <c r="B34" s="4" t="s">
        <v>14</v>
      </c>
      <c r="C34" s="4" t="n">
        <v>1004</v>
      </c>
      <c r="D34" s="5" t="s">
        <v>120</v>
      </c>
      <c r="E34" s="5" t="s">
        <v>32</v>
      </c>
      <c r="F34" s="6" t="s">
        <v>121</v>
      </c>
      <c r="G34" s="4" t="s">
        <v>49</v>
      </c>
      <c r="H34" s="4" t="s">
        <v>118</v>
      </c>
      <c r="I34" s="7"/>
      <c r="J34" s="7"/>
      <c r="K34" s="8" t="str">
        <f aca="false">IF(I34="","",IF(AND(I34=G34,J34&amp;""=H34&amp;""),"Sí","No"))</f>
        <v/>
      </c>
    </row>
    <row r="35" customFormat="false" ht="23.85" hidden="false" customHeight="false" outlineLevel="0" collapsed="false">
      <c r="A35" s="4" t="s">
        <v>122</v>
      </c>
      <c r="B35" s="4" t="s">
        <v>14</v>
      </c>
      <c r="C35" s="4" t="n">
        <v>1031</v>
      </c>
      <c r="D35" s="5" t="s">
        <v>123</v>
      </c>
      <c r="E35" s="5" t="s">
        <v>124</v>
      </c>
      <c r="F35" s="6" t="s">
        <v>125</v>
      </c>
      <c r="G35" s="4" t="s">
        <v>49</v>
      </c>
      <c r="H35" s="4" t="s">
        <v>126</v>
      </c>
      <c r="I35" s="7"/>
      <c r="J35" s="7"/>
      <c r="K35" s="8" t="str">
        <f aca="false">IF(I35="","",IF(AND(I35=G35,J35&amp;""=H35&amp;""),"Sí","No"))</f>
        <v/>
      </c>
    </row>
    <row r="36" customFormat="false" ht="23.85" hidden="false" customHeight="false" outlineLevel="0" collapsed="false">
      <c r="A36" s="4" t="s">
        <v>127</v>
      </c>
      <c r="B36" s="4" t="s">
        <v>14</v>
      </c>
      <c r="C36" s="4" t="n">
        <v>1032</v>
      </c>
      <c r="D36" s="5" t="s">
        <v>128</v>
      </c>
      <c r="E36" s="5" t="s">
        <v>124</v>
      </c>
      <c r="F36" s="6" t="s">
        <v>129</v>
      </c>
      <c r="G36" s="4" t="s">
        <v>49</v>
      </c>
      <c r="H36" s="4" t="s">
        <v>126</v>
      </c>
      <c r="I36" s="7"/>
      <c r="J36" s="7"/>
      <c r="K36" s="8" t="str">
        <f aca="false">IF(I36="","",IF(AND(I36=G36,J36&amp;""=H36&amp;""),"Sí","No"))</f>
        <v/>
      </c>
    </row>
    <row r="37" customFormat="false" ht="15" hidden="false" customHeight="false" outlineLevel="0" collapsed="false">
      <c r="A37" s="4" t="s">
        <v>130</v>
      </c>
      <c r="B37" s="4" t="s">
        <v>131</v>
      </c>
      <c r="C37" s="4" t="n">
        <v>2180</v>
      </c>
      <c r="D37" s="5" t="s">
        <v>132</v>
      </c>
      <c r="E37" s="5" t="s">
        <v>133</v>
      </c>
      <c r="F37" s="6" t="s">
        <v>134</v>
      </c>
      <c r="G37" s="4" t="s">
        <v>49</v>
      </c>
      <c r="H37" s="4" t="s">
        <v>135</v>
      </c>
      <c r="I37" s="7"/>
      <c r="J37" s="7"/>
      <c r="K37" s="8" t="str">
        <f aca="false">IF(I37="","",IF(AND(I37=G37,J37&amp;""=H37&amp;""),"Sí","No"))</f>
        <v/>
      </c>
    </row>
    <row r="38" customFormat="false" ht="15" hidden="false" customHeight="false" outlineLevel="0" collapsed="false">
      <c r="A38" s="4" t="s">
        <v>136</v>
      </c>
      <c r="B38" s="4" t="s">
        <v>131</v>
      </c>
      <c r="C38" s="4" t="n">
        <v>2181</v>
      </c>
      <c r="D38" s="5" t="s">
        <v>137</v>
      </c>
      <c r="E38" s="5" t="s">
        <v>133</v>
      </c>
      <c r="F38" s="6" t="s">
        <v>138</v>
      </c>
      <c r="G38" s="4" t="s">
        <v>49</v>
      </c>
      <c r="H38" s="4" t="s">
        <v>135</v>
      </c>
      <c r="I38" s="7"/>
      <c r="J38" s="7"/>
      <c r="K38" s="8" t="str">
        <f aca="false">IF(I38="","",IF(AND(I38=G38,J38&amp;""=H38&amp;""),"Sí","No"))</f>
        <v/>
      </c>
    </row>
    <row r="39" customFormat="false" ht="15" hidden="false" customHeight="false" outlineLevel="0" collapsed="false">
      <c r="A39" s="4" t="s">
        <v>139</v>
      </c>
      <c r="B39" s="4" t="s">
        <v>131</v>
      </c>
      <c r="C39" s="4" t="n">
        <v>2182</v>
      </c>
      <c r="D39" s="5" t="s">
        <v>140</v>
      </c>
      <c r="E39" s="5" t="s">
        <v>133</v>
      </c>
      <c r="F39" s="6" t="s">
        <v>141</v>
      </c>
      <c r="G39" s="4" t="s">
        <v>49</v>
      </c>
      <c r="H39" s="4" t="s">
        <v>135</v>
      </c>
      <c r="I39" s="7"/>
      <c r="J39" s="7"/>
      <c r="K39" s="8" t="str">
        <f aca="false">IF(I39="","",IF(AND(I39=G39,J39&amp;""=H39&amp;""),"Sí","No"))</f>
        <v/>
      </c>
    </row>
    <row r="40" customFormat="false" ht="15" hidden="false" customHeight="false" outlineLevel="0" collapsed="false">
      <c r="A40" s="4" t="s">
        <v>142</v>
      </c>
      <c r="B40" s="4" t="s">
        <v>131</v>
      </c>
      <c r="C40" s="4" t="n">
        <v>2183</v>
      </c>
      <c r="D40" s="5" t="s">
        <v>143</v>
      </c>
      <c r="E40" s="5" t="s">
        <v>133</v>
      </c>
      <c r="F40" s="6" t="s">
        <v>144</v>
      </c>
      <c r="G40" s="4" t="s">
        <v>49</v>
      </c>
      <c r="H40" s="4" t="s">
        <v>145</v>
      </c>
      <c r="I40" s="7"/>
      <c r="J40" s="7"/>
      <c r="K40" s="8" t="str">
        <f aca="false">IF(I40="","",IF(AND(I40=G40,J40&amp;""=H40&amp;""),"Sí","No"))</f>
        <v/>
      </c>
    </row>
  </sheetData>
  <autoFilter ref="A4:K40"/>
  <mergeCells count="1">
    <mergeCell ref="A2:K2"/>
  </mergeCells>
  <dataValidations count="2">
    <dataValidation allowBlank="true" errorStyle="stop" operator="between" showDropDown="false" showErrorMessage="false" showInputMessage="false" sqref="I5:I40" type="list">
      <formula1>"Cargado,Rechazado"</formula1>
      <formula2>0</formula2>
    </dataValidation>
    <dataValidation allowBlank="true" errorStyle="stop" operator="between" showDropDown="false" showErrorMessage="false" showInputMessage="false" sqref="J5:J40" type="list">
      <formula1>"CEDULA_VACIA,CEDULA_LONGITUD,CEDULA_CARACTERES,CEDULA_DUPLICADA,FECHA_INVALIDA,CODELEC_NO_EXISTE,CATALOGO_INVALIDO,CATALOGO_DUPLICADO,LINEA_MALFORMADA"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5" min="3" style="0" width="12"/>
  </cols>
  <sheetData>
    <row r="1" customFormat="false" ht="16.15" hidden="false" customHeight="false" outlineLevel="0" collapsed="false">
      <c r="A1" s="1" t="s">
        <v>146</v>
      </c>
    </row>
    <row r="2" customFormat="false" ht="30" hidden="false" customHeight="true" outlineLevel="0" collapsed="false">
      <c r="A2" s="2" t="s">
        <v>147</v>
      </c>
      <c r="B2" s="2"/>
      <c r="C2" s="2"/>
      <c r="D2" s="2"/>
      <c r="E2" s="2"/>
    </row>
    <row r="4" customFormat="false" ht="15" hidden="false" customHeight="false" outlineLevel="0" collapsed="false">
      <c r="A4" s="9" t="s">
        <v>3</v>
      </c>
      <c r="B4" s="9" t="s">
        <v>148</v>
      </c>
      <c r="C4" s="9" t="s">
        <v>149</v>
      </c>
      <c r="D4" s="9" t="s">
        <v>150</v>
      </c>
      <c r="E4" s="9" t="s">
        <v>151</v>
      </c>
    </row>
    <row r="5" customFormat="false" ht="15" hidden="false" customHeight="false" outlineLevel="0" collapsed="false">
      <c r="A5" s="10" t="s">
        <v>14</v>
      </c>
      <c r="B5" s="10" t="s">
        <v>152</v>
      </c>
      <c r="C5" s="11" t="n">
        <v>1032</v>
      </c>
      <c r="D5" s="7"/>
      <c r="E5" s="10" t="str">
        <f aca="false">IF(D5="","",D5-C5)</f>
        <v/>
      </c>
    </row>
    <row r="6" customFormat="false" ht="15" hidden="false" customHeight="false" outlineLevel="0" collapsed="false">
      <c r="A6" s="10" t="s">
        <v>14</v>
      </c>
      <c r="B6" s="10" t="s">
        <v>153</v>
      </c>
      <c r="C6" s="10" t="n">
        <f aca="false">COUNTIFS(Casos!$B$5:$B$40,"PADRON_COMPLETO.txt",Casos!$H$5:$H$40,"LINEA_MALFORMADA")</f>
        <v>2</v>
      </c>
      <c r="D6" s="7"/>
      <c r="E6" s="10" t="str">
        <f aca="false">IF(D6="","",D6-C6)</f>
        <v/>
      </c>
    </row>
    <row r="7" customFormat="false" ht="15" hidden="false" customHeight="false" outlineLevel="0" collapsed="false">
      <c r="A7" s="10" t="s">
        <v>14</v>
      </c>
      <c r="B7" s="10" t="s">
        <v>154</v>
      </c>
      <c r="C7" s="10" t="n">
        <f aca="false">COUNTIFS(Casos!$B$5:$B$40,"PADRON_COMPLETO.txt",Casos!$H$5:$H$40,"CEDULA_VACIA")</f>
        <v>3</v>
      </c>
      <c r="D7" s="7"/>
      <c r="E7" s="10" t="str">
        <f aca="false">IF(D7="","",D7-C7)</f>
        <v/>
      </c>
    </row>
    <row r="8" customFormat="false" ht="15" hidden="false" customHeight="false" outlineLevel="0" collapsed="false">
      <c r="A8" s="10" t="s">
        <v>14</v>
      </c>
      <c r="B8" s="10" t="s">
        <v>155</v>
      </c>
      <c r="C8" s="10" t="n">
        <f aca="false">COUNTIFS(Casos!$B$5:$B$40,"PADRON_COMPLETO.txt",Casos!$H$5:$H$40,"CEDULA_LONGITUD")</f>
        <v>2</v>
      </c>
      <c r="D8" s="7"/>
      <c r="E8" s="10" t="str">
        <f aca="false">IF(D8="","",D8-C8)</f>
        <v/>
      </c>
    </row>
    <row r="9" customFormat="false" ht="15" hidden="false" customHeight="false" outlineLevel="0" collapsed="false">
      <c r="A9" s="10" t="s">
        <v>14</v>
      </c>
      <c r="B9" s="10" t="s">
        <v>156</v>
      </c>
      <c r="C9" s="10" t="n">
        <f aca="false">COUNTIFS(Casos!$B$5:$B$40,"PADRON_COMPLETO.txt",Casos!$H$5:$H$40,"CEDULA_CARACTERES")</f>
        <v>3</v>
      </c>
      <c r="D9" s="7"/>
      <c r="E9" s="10" t="str">
        <f aca="false">IF(D9="","",D9-C9)</f>
        <v/>
      </c>
    </row>
    <row r="10" customFormat="false" ht="15" hidden="false" customHeight="false" outlineLevel="0" collapsed="false">
      <c r="A10" s="10" t="s">
        <v>14</v>
      </c>
      <c r="B10" s="10" t="s">
        <v>157</v>
      </c>
      <c r="C10" s="10" t="n">
        <f aca="false">COUNTIFS(Casos!$B$5:$B$40,"PADRON_COMPLETO.txt",Casos!$H$5:$H$40,"FECHA_INVALIDA")</f>
        <v>8</v>
      </c>
      <c r="D10" s="7"/>
      <c r="E10" s="10" t="str">
        <f aca="false">IF(D10="","",D10-C10)</f>
        <v/>
      </c>
    </row>
    <row r="11" customFormat="false" ht="15" hidden="false" customHeight="false" outlineLevel="0" collapsed="false">
      <c r="A11" s="10" t="s">
        <v>14</v>
      </c>
      <c r="B11" s="10" t="s">
        <v>158</v>
      </c>
      <c r="C11" s="10" t="n">
        <f aca="false">COUNTIFS(Casos!$B$5:$B$40,"PADRON_COMPLETO.txt",Casos!$H$5:$H$40,"CODELEC_NO_EXISTE")</f>
        <v>4</v>
      </c>
      <c r="D11" s="7"/>
      <c r="E11" s="10" t="str">
        <f aca="false">IF(D11="","",D11-C11)</f>
        <v/>
      </c>
    </row>
    <row r="12" customFormat="false" ht="15" hidden="false" customHeight="false" outlineLevel="0" collapsed="false">
      <c r="A12" s="10" t="s">
        <v>14</v>
      </c>
      <c r="B12" s="10" t="s">
        <v>159</v>
      </c>
      <c r="C12" s="10" t="n">
        <f aca="false">COUNTIFS(Casos!$B$5:$B$40,"PADRON_COMPLETO.txt",Casos!$H$5:$H$40,"CEDULA_DUPLICADA")</f>
        <v>2</v>
      </c>
      <c r="D12" s="7"/>
      <c r="E12" s="10" t="str">
        <f aca="false">IF(D12="","",D12-C12)</f>
        <v/>
      </c>
    </row>
    <row r="13" customFormat="false" ht="15" hidden="false" customHeight="false" outlineLevel="0" collapsed="false">
      <c r="A13" s="12" t="s">
        <v>14</v>
      </c>
      <c r="B13" s="12" t="s">
        <v>160</v>
      </c>
      <c r="C13" s="12" t="n">
        <f aca="false">SUM(C6:C12)</f>
        <v>24</v>
      </c>
      <c r="D13" s="13"/>
      <c r="E13" s="12" t="str">
        <f aca="false">IF(D13="","",D13-C13)</f>
        <v/>
      </c>
    </row>
    <row r="14" customFormat="false" ht="15" hidden="false" customHeight="false" outlineLevel="0" collapsed="false">
      <c r="A14" s="12" t="s">
        <v>14</v>
      </c>
      <c r="B14" s="12" t="s">
        <v>161</v>
      </c>
      <c r="C14" s="12" t="n">
        <f aca="false">C5-C13</f>
        <v>1008</v>
      </c>
      <c r="D14" s="13"/>
      <c r="E14" s="12" t="str">
        <f aca="false">IF(D14="","",D14-C14)</f>
        <v/>
      </c>
    </row>
    <row r="15" customFormat="false" ht="15" hidden="false" customHeight="false" outlineLevel="0" collapsed="false">
      <c r="A15" s="10" t="s">
        <v>131</v>
      </c>
      <c r="B15" s="10" t="s">
        <v>152</v>
      </c>
      <c r="C15" s="11" t="n">
        <v>2183</v>
      </c>
      <c r="D15" s="7"/>
      <c r="E15" s="10" t="str">
        <f aca="false">IF(D15="","",D15-C15)</f>
        <v/>
      </c>
    </row>
    <row r="16" customFormat="false" ht="15" hidden="false" customHeight="false" outlineLevel="0" collapsed="false">
      <c r="A16" s="10" t="s">
        <v>131</v>
      </c>
      <c r="B16" s="10" t="s">
        <v>162</v>
      </c>
      <c r="C16" s="10" t="n">
        <f aca="false">COUNTIFS(Casos!$B$5:$B$40,"distelec.txt",Casos!$H$5:$H$40,"CATALOGO_INVALIDO")</f>
        <v>3</v>
      </c>
      <c r="D16" s="7"/>
      <c r="E16" s="10" t="str">
        <f aca="false">IF(D16="","",D16-C16)</f>
        <v/>
      </c>
    </row>
    <row r="17" customFormat="false" ht="15" hidden="false" customHeight="false" outlineLevel="0" collapsed="false">
      <c r="A17" s="10" t="s">
        <v>131</v>
      </c>
      <c r="B17" s="10" t="s">
        <v>163</v>
      </c>
      <c r="C17" s="10" t="n">
        <f aca="false">COUNTIFS(Casos!$B$5:$B$40,"distelec.txt",Casos!$H$5:$H$40,"CATALOGO_DUPLICADO")</f>
        <v>1</v>
      </c>
      <c r="D17" s="7"/>
      <c r="E17" s="10" t="str">
        <f aca="false">IF(D17="","",D17-C17)</f>
        <v/>
      </c>
    </row>
    <row r="18" customFormat="false" ht="15" hidden="false" customHeight="false" outlineLevel="0" collapsed="false">
      <c r="A18" s="12" t="s">
        <v>131</v>
      </c>
      <c r="B18" s="12" t="s">
        <v>160</v>
      </c>
      <c r="C18" s="12" t="n">
        <f aca="false">SUM(C16:C17)</f>
        <v>4</v>
      </c>
      <c r="D18" s="13"/>
      <c r="E18" s="12" t="str">
        <f aca="false">IF(D18="","",D18-C18)</f>
        <v/>
      </c>
    </row>
    <row r="19" customFormat="false" ht="15" hidden="false" customHeight="false" outlineLevel="0" collapsed="false">
      <c r="A19" s="12" t="s">
        <v>131</v>
      </c>
      <c r="B19" s="12" t="s">
        <v>161</v>
      </c>
      <c r="C19" s="12" t="n">
        <f aca="false">C15-C18</f>
        <v>2179</v>
      </c>
      <c r="D19" s="13"/>
      <c r="E19" s="12" t="str">
        <f aca="false">IF(D19="","",D19-C19)</f>
        <v/>
      </c>
    </row>
    <row r="21" customFormat="false" ht="15" hidden="false" customHeight="false" outlineLevel="0" collapsed="false">
      <c r="A21" s="14" t="s">
        <v>164</v>
      </c>
      <c r="C21" s="0" t="str">
        <f aca="false">IF(C5=C14+C13,"Cuadra","No cuadra")</f>
        <v>Cuadra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5" t="s">
        <v>165</v>
      </c>
    </row>
    <row r="3" customFormat="false" ht="15" hidden="false" customHeight="false" outlineLevel="0" collapsed="false">
      <c r="A3" s="9" t="s">
        <v>166</v>
      </c>
      <c r="B3" s="9" t="s">
        <v>167</v>
      </c>
      <c r="C3" s="9" t="s">
        <v>168</v>
      </c>
      <c r="D3" s="9" t="s">
        <v>169</v>
      </c>
      <c r="E3" s="9" t="s">
        <v>170</v>
      </c>
    </row>
    <row r="4" customFormat="false" ht="15" hidden="false" customHeight="false" outlineLevel="0" collapsed="false">
      <c r="A4" s="10" t="n">
        <v>1</v>
      </c>
      <c r="B4" s="10" t="s">
        <v>118</v>
      </c>
      <c r="C4" s="10" t="s">
        <v>171</v>
      </c>
      <c r="D4" s="10" t="s">
        <v>172</v>
      </c>
      <c r="E4" s="10" t="s">
        <v>173</v>
      </c>
    </row>
    <row r="5" customFormat="false" ht="15" hidden="false" customHeight="false" outlineLevel="0" collapsed="false">
      <c r="A5" s="10" t="n">
        <v>2</v>
      </c>
      <c r="B5" s="10" t="s">
        <v>50</v>
      </c>
      <c r="C5" s="10" t="s">
        <v>174</v>
      </c>
      <c r="D5" s="10" t="s">
        <v>172</v>
      </c>
      <c r="E5" s="10" t="s">
        <v>175</v>
      </c>
    </row>
    <row r="6" customFormat="false" ht="15" hidden="false" customHeight="false" outlineLevel="0" collapsed="false">
      <c r="A6" s="10" t="n">
        <v>3</v>
      </c>
      <c r="B6" s="10" t="s">
        <v>57</v>
      </c>
      <c r="C6" s="10" t="s">
        <v>174</v>
      </c>
      <c r="D6" s="10" t="s">
        <v>172</v>
      </c>
      <c r="E6" s="10" t="s">
        <v>176</v>
      </c>
    </row>
    <row r="7" customFormat="false" ht="15" hidden="false" customHeight="false" outlineLevel="0" collapsed="false">
      <c r="A7" s="10" t="n">
        <v>4</v>
      </c>
      <c r="B7" s="10" t="s">
        <v>64</v>
      </c>
      <c r="C7" s="10" t="s">
        <v>174</v>
      </c>
      <c r="D7" s="10" t="s">
        <v>172</v>
      </c>
      <c r="E7" s="10" t="s">
        <v>177</v>
      </c>
    </row>
    <row r="8" customFormat="false" ht="15" hidden="false" customHeight="false" outlineLevel="0" collapsed="false">
      <c r="A8" s="10" t="n">
        <v>5</v>
      </c>
      <c r="B8" s="10" t="s">
        <v>74</v>
      </c>
      <c r="C8" s="10" t="s">
        <v>178</v>
      </c>
      <c r="D8" s="10" t="s">
        <v>172</v>
      </c>
      <c r="E8" s="10" t="s">
        <v>179</v>
      </c>
    </row>
    <row r="9" customFormat="false" ht="15" hidden="false" customHeight="false" outlineLevel="0" collapsed="false">
      <c r="A9" s="10" t="n">
        <v>6</v>
      </c>
      <c r="B9" s="10" t="s">
        <v>97</v>
      </c>
      <c r="C9" s="10" t="s">
        <v>180</v>
      </c>
      <c r="D9" s="10" t="s">
        <v>181</v>
      </c>
      <c r="E9" s="10" t="s">
        <v>182</v>
      </c>
    </row>
    <row r="10" customFormat="false" ht="15" hidden="false" customHeight="false" outlineLevel="0" collapsed="false">
      <c r="A10" s="10" t="n">
        <v>7</v>
      </c>
      <c r="B10" s="10" t="s">
        <v>126</v>
      </c>
      <c r="C10" s="10" t="s">
        <v>183</v>
      </c>
      <c r="D10" s="10" t="s">
        <v>181</v>
      </c>
      <c r="E10" s="1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2026-10-27T20:05:39Z</dcterms:created>
  <dc:creator>openpyxl</dc:creator>
  <dc:description/>
  <dc:language>en-US</dc:language>
  <cp:lastModifiedBy/>
  <dcterms:modified xsi:type="dcterms:W3CDTF">2026-10-27T20:05:39Z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